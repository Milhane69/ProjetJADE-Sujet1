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jo\Documents\TER\"/>
    </mc:Choice>
  </mc:AlternateContent>
  <bookViews>
    <workbookView xWindow="0" yWindow="0" windowWidth="19200" windowHeight="70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20" i="1"/>
  <c r="G23" i="1"/>
  <c r="G15" i="1"/>
  <c r="H10" i="1"/>
  <c r="H15" i="1"/>
  <c r="H20" i="1"/>
  <c r="H23" i="1"/>
  <c r="H27" i="1" l="1"/>
  <c r="G27" i="1"/>
</calcChain>
</file>

<file path=xl/sharedStrings.xml><?xml version="1.0" encoding="utf-8"?>
<sst xmlns="http://schemas.openxmlformats.org/spreadsheetml/2006/main" count="41" uniqueCount="32">
  <si>
    <t>Diagramme de gantt</t>
  </si>
  <si>
    <t xml:space="preserve">Date du début du projet : </t>
  </si>
  <si>
    <t xml:space="preserve">Date de fin du projet : </t>
  </si>
  <si>
    <t>Effectif</t>
  </si>
  <si>
    <t>Début</t>
  </si>
  <si>
    <t>Fin</t>
  </si>
  <si>
    <t>Livrables techniques</t>
  </si>
  <si>
    <t>Milhane</t>
  </si>
  <si>
    <t>Projet : JADE - Justice Algorithmique des Élections</t>
  </si>
  <si>
    <t>Membre du groupe : Djennad Mahdi, RABEHI Milhane</t>
  </si>
  <si>
    <t>Analyse du schéma relationnel existant (UGA/IDEX)</t>
  </si>
  <si>
    <t>Modélisation des tables pour les "Abstracts"</t>
  </si>
  <si>
    <t>Base de données relationnelle JADE</t>
  </si>
  <si>
    <t>Création du script SQL (Tables/Index)</t>
  </si>
  <si>
    <t>Optimisation de la base pour le texte</t>
  </si>
  <si>
    <t>Automatisation Python &amp; Parsing</t>
  </si>
  <si>
    <t>Script de récupération des abstracts</t>
  </si>
  <si>
    <t>Développement du parser (Regex/Text)</t>
  </si>
  <si>
    <t>Script de nettoyage des données</t>
  </si>
  <si>
    <t>Module d'insertion SQL automatique</t>
  </si>
  <si>
    <t>Test de qualité des données</t>
  </si>
  <si>
    <t>Tests d'intégrité (Double saisie/Script)</t>
  </si>
  <si>
    <t>Debugging et robustesse du code</t>
  </si>
  <si>
    <t>Milhane, Mahdi</t>
  </si>
  <si>
    <t>Mahdi</t>
  </si>
  <si>
    <t>Mahdi, Milhane</t>
  </si>
  <si>
    <t>Documentation technique du code Git</t>
  </si>
  <si>
    <t>Rapport final (Cahier des charges final)</t>
  </si>
  <si>
    <t>Support de soutenance (Oral)</t>
  </si>
  <si>
    <t>Temps effectué (h)/ Milhane</t>
  </si>
  <si>
    <t>Temps effectué (h)/ MAHDI</t>
  </si>
  <si>
    <t xml:space="preserve">     Tâche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</si>
</sst>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sz val="12"/>
      <color theme="0"/>
      <name val="Algerian"/>
      <family val="5"/>
    </font>
    <font>
      <b/>
      <sz val="12"/>
      <color theme="0"/>
      <name val="Calibri"/>
      <family val="2"/>
      <scheme val="minor"/>
    </font>
    <font>
      <sz val="10"/>
      <color theme="0"/>
      <name val="Algerian"/>
      <family val="5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0" fillId="0" borderId="0" xfId="0" applyBorder="1"/>
    <xf numFmtId="14" fontId="2" fillId="4" borderId="13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7" borderId="14" xfId="0" applyNumberFormat="1" applyFont="1" applyFill="1" applyBorder="1" applyAlignment="1">
      <alignment horizontal="center" vertical="center"/>
    </xf>
    <xf numFmtId="14" fontId="2" fillId="9" borderId="14" xfId="0" applyNumberFormat="1" applyFont="1" applyFill="1" applyBorder="1" applyAlignment="1">
      <alignment horizontal="center" vertical="center"/>
    </xf>
    <xf numFmtId="0" fontId="3" fillId="4" borderId="13" xfId="0" applyFont="1" applyFill="1" applyBorder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6" borderId="14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4" fontId="0" fillId="8" borderId="13" xfId="0" applyNumberFormat="1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Fill="1" applyBorder="1" applyAlignment="1">
      <alignment vertical="center"/>
    </xf>
    <xf numFmtId="0" fontId="0" fillId="4" borderId="1" xfId="0" applyFill="1" applyBorder="1"/>
    <xf numFmtId="0" fontId="0" fillId="0" borderId="1" xfId="0" applyFill="1" applyBorder="1"/>
    <xf numFmtId="0" fontId="5" fillId="7" borderId="1" xfId="0" applyFont="1" applyFill="1" applyBorder="1"/>
    <xf numFmtId="0" fontId="5" fillId="0" borderId="1" xfId="0" applyFont="1" applyFill="1" applyBorder="1"/>
    <xf numFmtId="14" fontId="0" fillId="12" borderId="1" xfId="0" applyNumberFormat="1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14" fontId="0" fillId="14" borderId="14" xfId="0" applyNumberFormat="1" applyFill="1" applyBorder="1" applyAlignment="1">
      <alignment horizontal="center"/>
    </xf>
    <xf numFmtId="0" fontId="0" fillId="14" borderId="1" xfId="0" applyFill="1" applyBorder="1"/>
    <xf numFmtId="0" fontId="5" fillId="15" borderId="1" xfId="0" applyFont="1" applyFill="1" applyBorder="1"/>
    <xf numFmtId="0" fontId="0" fillId="15" borderId="1" xfId="0" applyFill="1" applyBorder="1"/>
    <xf numFmtId="14" fontId="0" fillId="16" borderId="13" xfId="0" applyNumberFormat="1" applyFill="1" applyBorder="1" applyAlignment="1">
      <alignment horizontal="center"/>
    </xf>
    <xf numFmtId="0" fontId="0" fillId="16" borderId="1" xfId="0" applyFill="1" applyBorder="1"/>
    <xf numFmtId="0" fontId="5" fillId="16" borderId="1" xfId="0" applyFont="1" applyFill="1" applyBorder="1"/>
    <xf numFmtId="0" fontId="0" fillId="17" borderId="1" xfId="0" applyFill="1" applyBorder="1"/>
    <xf numFmtId="14" fontId="0" fillId="18" borderId="1" xfId="0" applyNumberFormat="1" applyFill="1" applyBorder="1" applyAlignment="1">
      <alignment horizontal="center"/>
    </xf>
    <xf numFmtId="0" fontId="0" fillId="18" borderId="1" xfId="0" applyFill="1" applyBorder="1"/>
    <xf numFmtId="0" fontId="0" fillId="0" borderId="0" xfId="0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 vertical="center"/>
    </xf>
    <xf numFmtId="0" fontId="0" fillId="10" borderId="8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4D6"/>
      <color rgb="FFF8CBAD"/>
      <color rgb="FFE2EFDA"/>
      <color rgb="FFC6E0B4"/>
      <color rgb="FFDDEBF7"/>
      <color rgb="FFBDD7EE"/>
      <color rgb="FFFFF2CC"/>
      <color rgb="FF4E4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541812</xdr:colOff>
      <xdr:row>4</xdr:row>
      <xdr:rowOff>173182</xdr:rowOff>
    </xdr:from>
    <xdr:ext cx="3268844" cy="374141"/>
    <xdr:sp macro="" textlink="">
      <xdr:nvSpPr>
        <xdr:cNvPr id="3" name="ZoneTexte 2"/>
        <xdr:cNvSpPr txBox="1"/>
      </xdr:nvSpPr>
      <xdr:spPr>
        <a:xfrm>
          <a:off x="14788903" y="912091"/>
          <a:ext cx="3268844" cy="374141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/>
            <a:t>Jalon : Soutenance intermédiaire</a:t>
          </a:r>
        </a:p>
      </xdr:txBody>
    </xdr:sp>
    <xdr:clientData/>
  </xdr:oneCellAnchor>
  <xdr:twoCellAnchor>
    <xdr:from>
      <xdr:col>16</xdr:col>
      <xdr:colOff>353786</xdr:colOff>
      <xdr:row>6</xdr:row>
      <xdr:rowOff>156427</xdr:rowOff>
    </xdr:from>
    <xdr:to>
      <xdr:col>16</xdr:col>
      <xdr:colOff>355351</xdr:colOff>
      <xdr:row>8</xdr:row>
      <xdr:rowOff>45357</xdr:rowOff>
    </xdr:to>
    <xdr:cxnSp macro="">
      <xdr:nvCxnSpPr>
        <xdr:cNvPr id="5" name="Connecteur droit 4"/>
        <xdr:cNvCxnSpPr/>
      </xdr:nvCxnSpPr>
      <xdr:spPr>
        <a:xfrm flipH="1">
          <a:off x="14459857" y="1244998"/>
          <a:ext cx="1565" cy="251788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197757</xdr:colOff>
      <xdr:row>4</xdr:row>
      <xdr:rowOff>125187</xdr:rowOff>
    </xdr:from>
    <xdr:ext cx="2548326" cy="374141"/>
    <xdr:sp macro="" textlink="">
      <xdr:nvSpPr>
        <xdr:cNvPr id="7" name="ZoneTexte 6"/>
        <xdr:cNvSpPr txBox="1"/>
      </xdr:nvSpPr>
      <xdr:spPr>
        <a:xfrm>
          <a:off x="20399828" y="850901"/>
          <a:ext cx="2548326" cy="374141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/>
            <a:t>Jalon : Soutenance Finale</a:t>
          </a:r>
        </a:p>
      </xdr:txBody>
    </xdr:sp>
    <xdr:clientData/>
  </xdr:oneCellAnchor>
  <xdr:twoCellAnchor>
    <xdr:from>
      <xdr:col>25</xdr:col>
      <xdr:colOff>709920</xdr:colOff>
      <xdr:row>6</xdr:row>
      <xdr:rowOff>136471</xdr:rowOff>
    </xdr:from>
    <xdr:to>
      <xdr:col>27</xdr:col>
      <xdr:colOff>607786</xdr:colOff>
      <xdr:row>8</xdr:row>
      <xdr:rowOff>0</xdr:rowOff>
    </xdr:to>
    <xdr:cxnSp macro="">
      <xdr:nvCxnSpPr>
        <xdr:cNvPr id="8" name="Connecteur droit 7"/>
        <xdr:cNvCxnSpPr>
          <a:stCxn id="7" idx="2"/>
        </xdr:cNvCxnSpPr>
      </xdr:nvCxnSpPr>
      <xdr:spPr>
        <a:xfrm>
          <a:off x="22435991" y="1225042"/>
          <a:ext cx="1421866" cy="226387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27"/>
  <sheetViews>
    <sheetView tabSelected="1" zoomScale="55" zoomScaleNormal="55" workbookViewId="0">
      <selection activeCell="L7" sqref="L7"/>
    </sheetView>
  </sheetViews>
  <sheetFormatPr baseColWidth="10" defaultRowHeight="14.5" x14ac:dyDescent="0.35"/>
  <cols>
    <col min="1" max="1" width="2" customWidth="1"/>
    <col min="2" max="2" width="17.26953125" customWidth="1"/>
    <col min="3" max="3" width="25.81640625" customWidth="1"/>
    <col min="4" max="4" width="12.26953125" customWidth="1"/>
    <col min="5" max="5" width="1.7265625" customWidth="1"/>
    <col min="6" max="6" width="15.90625" customWidth="1"/>
    <col min="7" max="7" width="24.26953125" customWidth="1"/>
    <col min="8" max="8" width="23.81640625" customWidth="1"/>
    <col min="9" max="9" width="14.6328125" customWidth="1"/>
    <col min="10" max="10" width="15.54296875" customWidth="1"/>
    <col min="11" max="11" width="2.6328125" customWidth="1"/>
    <col min="12" max="12" width="16" customWidth="1"/>
    <col min="13" max="14" width="16" bestFit="1" customWidth="1"/>
    <col min="15" max="15" width="15.54296875" bestFit="1" customWidth="1"/>
    <col min="16" max="19" width="16" bestFit="1" customWidth="1"/>
    <col min="20" max="21" width="16.453125" bestFit="1" customWidth="1"/>
    <col min="22" max="22" width="16" bestFit="1" customWidth="1"/>
    <col min="23" max="23" width="16.453125" bestFit="1" customWidth="1"/>
    <col min="24" max="24" width="15.54296875" bestFit="1" customWidth="1"/>
    <col min="25" max="25" width="16.453125" bestFit="1" customWidth="1"/>
    <col min="26" max="28" width="16" bestFit="1" customWidth="1"/>
  </cols>
  <sheetData>
    <row r="1" spans="2:28" x14ac:dyDescent="0.35">
      <c r="B1" s="101" t="s">
        <v>8</v>
      </c>
      <c r="C1" s="102"/>
      <c r="D1" s="103"/>
    </row>
    <row r="2" spans="2:28" x14ac:dyDescent="0.35">
      <c r="B2" s="104"/>
      <c r="C2" s="105"/>
      <c r="D2" s="106"/>
      <c r="G2" s="57" t="s">
        <v>0</v>
      </c>
      <c r="H2" s="58"/>
      <c r="I2" s="58"/>
      <c r="J2" s="58"/>
      <c r="K2" s="58"/>
      <c r="L2" s="58"/>
      <c r="M2" s="58"/>
      <c r="N2" s="58"/>
      <c r="O2" s="58"/>
      <c r="P2" s="58"/>
      <c r="Q2" s="59"/>
      <c r="R2" s="85"/>
    </row>
    <row r="3" spans="2:28" x14ac:dyDescent="0.35">
      <c r="G3" s="54"/>
      <c r="H3" s="55"/>
      <c r="I3" s="55"/>
      <c r="J3" s="55"/>
      <c r="K3" s="55"/>
      <c r="L3" s="55"/>
      <c r="M3" s="55"/>
      <c r="N3" s="55"/>
      <c r="O3" s="55"/>
      <c r="P3" s="55"/>
      <c r="Q3" s="56"/>
      <c r="R3" s="85"/>
    </row>
    <row r="4" spans="2:28" x14ac:dyDescent="0.35">
      <c r="G4" s="60" t="s">
        <v>9</v>
      </c>
      <c r="H4" s="61"/>
      <c r="I4" s="61"/>
      <c r="J4" s="61"/>
      <c r="K4" s="61"/>
      <c r="L4" s="61"/>
      <c r="M4" s="61"/>
      <c r="N4" s="61"/>
      <c r="O4" s="61"/>
      <c r="P4" s="61"/>
      <c r="Q4" s="62"/>
      <c r="R4" s="85"/>
    </row>
    <row r="5" spans="2:28" x14ac:dyDescent="0.35">
      <c r="B5" s="28" t="s">
        <v>1</v>
      </c>
      <c r="C5" s="29"/>
      <c r="D5" s="1">
        <v>45999</v>
      </c>
    </row>
    <row r="6" spans="2:28" x14ac:dyDescent="0.35">
      <c r="B6" s="28" t="s">
        <v>2</v>
      </c>
      <c r="C6" s="29"/>
      <c r="D6" s="1">
        <v>46188</v>
      </c>
    </row>
    <row r="7" spans="2:28" x14ac:dyDescent="0.35"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2:28" x14ac:dyDescent="0.35"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 spans="2:28" ht="39.5" customHeight="1" x14ac:dyDescent="0.35">
      <c r="B9" s="86" t="s">
        <v>31</v>
      </c>
      <c r="C9" s="87"/>
      <c r="D9" s="87"/>
      <c r="E9" s="88"/>
      <c r="F9" s="89" t="s">
        <v>3</v>
      </c>
      <c r="G9" s="100" t="s">
        <v>29</v>
      </c>
      <c r="H9" s="100" t="s">
        <v>30</v>
      </c>
      <c r="I9" s="89" t="s">
        <v>4</v>
      </c>
      <c r="J9" s="89" t="s">
        <v>5</v>
      </c>
      <c r="K9" s="89"/>
      <c r="L9" s="90">
        <v>45999</v>
      </c>
      <c r="M9" s="90">
        <v>46011</v>
      </c>
      <c r="N9" s="90">
        <v>46027</v>
      </c>
      <c r="O9" s="90">
        <v>46037</v>
      </c>
      <c r="P9" s="90">
        <v>46042</v>
      </c>
      <c r="Q9" s="90">
        <v>46048</v>
      </c>
      <c r="R9" s="90">
        <v>46063</v>
      </c>
      <c r="S9" s="90">
        <v>46069</v>
      </c>
      <c r="T9" s="90">
        <v>46090</v>
      </c>
      <c r="U9" s="90">
        <v>46106</v>
      </c>
      <c r="V9" s="90">
        <v>46122</v>
      </c>
      <c r="W9" s="90">
        <v>46132</v>
      </c>
      <c r="X9" s="90">
        <v>46153</v>
      </c>
      <c r="Y9" s="90">
        <v>46162</v>
      </c>
      <c r="Z9" s="90">
        <v>46174</v>
      </c>
      <c r="AA9" s="90">
        <v>46183</v>
      </c>
      <c r="AB9" s="90">
        <v>46188</v>
      </c>
    </row>
    <row r="10" spans="2:28" ht="36" customHeight="1" x14ac:dyDescent="0.35">
      <c r="B10" s="63" t="s">
        <v>12</v>
      </c>
      <c r="C10" s="64"/>
      <c r="D10" s="64"/>
      <c r="E10" s="65"/>
      <c r="F10" s="9"/>
      <c r="G10" s="91">
        <f>SUM(G11:G14)</f>
        <v>110</v>
      </c>
      <c r="H10" s="91">
        <f>SUM(H11:H14)</f>
        <v>55</v>
      </c>
      <c r="I10" s="5">
        <v>45999</v>
      </c>
      <c r="J10" s="5">
        <v>46042</v>
      </c>
      <c r="L10" s="68"/>
      <c r="M10" s="68"/>
      <c r="N10" s="68"/>
      <c r="O10" s="68"/>
      <c r="P10" s="68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6"/>
    </row>
    <row r="11" spans="2:28" ht="20.25" customHeight="1" x14ac:dyDescent="0.35">
      <c r="B11" s="51" t="s">
        <v>10</v>
      </c>
      <c r="C11" s="52"/>
      <c r="D11" s="52"/>
      <c r="E11" s="53"/>
      <c r="F11" s="10" t="s">
        <v>23</v>
      </c>
      <c r="G11" s="92">
        <v>15</v>
      </c>
      <c r="H11" s="92">
        <v>15</v>
      </c>
      <c r="I11" s="72">
        <v>45999</v>
      </c>
      <c r="J11" s="19">
        <v>46011</v>
      </c>
      <c r="K11" s="2"/>
      <c r="L11" s="73"/>
      <c r="M11" s="73"/>
      <c r="N11" s="69"/>
      <c r="O11" s="69"/>
      <c r="P11" s="69"/>
      <c r="Q11" s="69"/>
      <c r="R11" s="69"/>
      <c r="S11" s="69"/>
      <c r="T11" s="69"/>
      <c r="U11" s="69"/>
      <c r="V11" s="69"/>
      <c r="W11" s="66"/>
      <c r="X11" s="66"/>
      <c r="Y11" s="66"/>
      <c r="Z11" s="66"/>
      <c r="AA11" s="66"/>
      <c r="AB11" s="66"/>
    </row>
    <row r="12" spans="2:28" ht="21" customHeight="1" x14ac:dyDescent="0.35">
      <c r="B12" s="51" t="s">
        <v>11</v>
      </c>
      <c r="C12" s="52"/>
      <c r="D12" s="52"/>
      <c r="E12" s="53"/>
      <c r="F12" s="10" t="s">
        <v>7</v>
      </c>
      <c r="G12" s="92">
        <v>45</v>
      </c>
      <c r="H12" s="92">
        <v>10</v>
      </c>
      <c r="I12" s="19">
        <v>46011</v>
      </c>
      <c r="J12" s="19">
        <v>46027</v>
      </c>
      <c r="K12" s="2"/>
      <c r="L12" s="69"/>
      <c r="M12" s="73"/>
      <c r="N12" s="73"/>
      <c r="O12" s="69"/>
      <c r="P12" s="69"/>
      <c r="Q12" s="69"/>
      <c r="R12" s="69"/>
      <c r="S12" s="69"/>
      <c r="T12" s="69"/>
      <c r="U12" s="69"/>
      <c r="V12" s="69"/>
      <c r="W12" s="66"/>
      <c r="X12" s="66"/>
      <c r="Y12" s="66"/>
      <c r="Z12" s="66"/>
      <c r="AA12" s="66"/>
      <c r="AB12" s="66"/>
    </row>
    <row r="13" spans="2:28" ht="18.75" customHeight="1" x14ac:dyDescent="0.35">
      <c r="B13" s="51" t="s">
        <v>13</v>
      </c>
      <c r="C13" s="52"/>
      <c r="D13" s="52"/>
      <c r="E13" s="53"/>
      <c r="F13" s="10" t="s">
        <v>23</v>
      </c>
      <c r="G13" s="92">
        <v>30</v>
      </c>
      <c r="H13" s="92">
        <v>20</v>
      </c>
      <c r="I13" s="19">
        <v>46027</v>
      </c>
      <c r="J13" s="19">
        <v>46037</v>
      </c>
      <c r="K13" s="2"/>
      <c r="L13" s="69"/>
      <c r="M13" s="69"/>
      <c r="N13" s="73"/>
      <c r="O13" s="73"/>
      <c r="P13" s="73"/>
      <c r="Q13" s="69"/>
      <c r="R13" s="69"/>
      <c r="S13" s="69"/>
      <c r="T13" s="69"/>
      <c r="U13" s="69"/>
      <c r="V13" s="69"/>
      <c r="W13" s="66"/>
      <c r="X13" s="66"/>
      <c r="Y13" s="66"/>
      <c r="Z13" s="66"/>
      <c r="AA13" s="66"/>
      <c r="AB13" s="66"/>
    </row>
    <row r="14" spans="2:28" ht="19.5" customHeight="1" x14ac:dyDescent="0.35">
      <c r="B14" s="51" t="s">
        <v>14</v>
      </c>
      <c r="C14" s="52"/>
      <c r="D14" s="52"/>
      <c r="E14" s="53"/>
      <c r="F14" s="10" t="s">
        <v>7</v>
      </c>
      <c r="G14" s="92">
        <v>20</v>
      </c>
      <c r="H14" s="92">
        <v>10</v>
      </c>
      <c r="I14" s="19">
        <v>46032</v>
      </c>
      <c r="J14" s="19">
        <v>46042</v>
      </c>
      <c r="K14" s="2"/>
      <c r="L14" s="69"/>
      <c r="M14" s="69"/>
      <c r="N14" s="73"/>
      <c r="O14" s="73"/>
      <c r="P14" s="73"/>
      <c r="Q14" s="69"/>
      <c r="R14" s="69"/>
      <c r="S14" s="69"/>
      <c r="T14" s="69"/>
      <c r="U14" s="69"/>
      <c r="V14" s="69"/>
      <c r="W14" s="66"/>
      <c r="X14" s="66"/>
      <c r="Y14" s="66"/>
      <c r="Z14" s="66"/>
      <c r="AA14" s="66"/>
      <c r="AB14" s="66"/>
    </row>
    <row r="15" spans="2:28" ht="32.25" customHeight="1" x14ac:dyDescent="0.35">
      <c r="B15" s="30" t="s">
        <v>15</v>
      </c>
      <c r="C15" s="41"/>
      <c r="D15" s="41"/>
      <c r="E15" s="31"/>
      <c r="F15" s="11"/>
      <c r="G15" s="93">
        <f>SUM(G16:G19)</f>
        <v>85</v>
      </c>
      <c r="H15" s="93">
        <f>SUM(H16:H19)</f>
        <v>145</v>
      </c>
      <c r="I15" s="6">
        <v>46043</v>
      </c>
      <c r="J15" s="6">
        <v>46132</v>
      </c>
      <c r="K15" s="2"/>
      <c r="L15" s="69"/>
      <c r="M15" s="69"/>
      <c r="N15" s="69"/>
      <c r="O15" s="69"/>
      <c r="P15" s="74"/>
      <c r="Q15" s="74"/>
      <c r="R15" s="74"/>
      <c r="S15" s="74"/>
      <c r="T15" s="74"/>
      <c r="U15" s="74"/>
      <c r="V15" s="74"/>
      <c r="W15" s="74"/>
      <c r="X15" s="69"/>
      <c r="Y15" s="69"/>
      <c r="Z15" s="69"/>
      <c r="AA15" s="69"/>
      <c r="AB15" s="66"/>
    </row>
    <row r="16" spans="2:28" ht="20.25" customHeight="1" x14ac:dyDescent="0.35">
      <c r="B16" s="42" t="s">
        <v>16</v>
      </c>
      <c r="C16" s="43"/>
      <c r="D16" s="43"/>
      <c r="E16" s="44"/>
      <c r="F16" s="12" t="s">
        <v>24</v>
      </c>
      <c r="G16" s="94">
        <v>10</v>
      </c>
      <c r="H16" s="94">
        <v>30</v>
      </c>
      <c r="I16" s="20">
        <v>46043</v>
      </c>
      <c r="J16" s="20">
        <v>46063</v>
      </c>
      <c r="K16" s="2"/>
      <c r="L16" s="66"/>
      <c r="M16" s="66"/>
      <c r="N16" s="66"/>
      <c r="O16" s="66"/>
      <c r="P16" s="76"/>
      <c r="Q16" s="76"/>
      <c r="R16" s="76"/>
      <c r="S16" s="66"/>
      <c r="T16" s="66"/>
      <c r="U16" s="69"/>
      <c r="V16" s="69"/>
      <c r="W16" s="69"/>
      <c r="X16" s="69"/>
      <c r="Y16" s="69"/>
      <c r="Z16" s="69"/>
      <c r="AA16" s="69"/>
      <c r="AB16" s="66"/>
    </row>
    <row r="17" spans="2:28" ht="21" customHeight="1" x14ac:dyDescent="0.35">
      <c r="B17" s="45" t="s">
        <v>17</v>
      </c>
      <c r="C17" s="46"/>
      <c r="D17" s="46"/>
      <c r="E17" s="47"/>
      <c r="F17" s="13" t="s">
        <v>25</v>
      </c>
      <c r="G17" s="94">
        <v>35</v>
      </c>
      <c r="H17" s="94">
        <v>75</v>
      </c>
      <c r="I17" s="21">
        <v>46064</v>
      </c>
      <c r="J17" s="75">
        <v>46106</v>
      </c>
      <c r="L17" s="66"/>
      <c r="M17" s="66"/>
      <c r="N17" s="66"/>
      <c r="O17" s="66"/>
      <c r="P17" s="66"/>
      <c r="Q17" s="66"/>
      <c r="R17" s="76"/>
      <c r="S17" s="76"/>
      <c r="T17" s="76"/>
      <c r="U17" s="76"/>
      <c r="V17" s="69"/>
      <c r="W17" s="69"/>
      <c r="X17" s="69"/>
      <c r="Y17" s="69"/>
      <c r="Z17" s="69"/>
      <c r="AA17" s="69"/>
      <c r="AB17" s="66"/>
    </row>
    <row r="18" spans="2:28" ht="21" customHeight="1" x14ac:dyDescent="0.35">
      <c r="B18" s="42" t="s">
        <v>18</v>
      </c>
      <c r="C18" s="43"/>
      <c r="D18" s="43"/>
      <c r="E18" s="44"/>
      <c r="F18" s="12" t="s">
        <v>24</v>
      </c>
      <c r="G18" s="94">
        <v>15</v>
      </c>
      <c r="H18" s="94">
        <v>15</v>
      </c>
      <c r="I18" s="20">
        <v>46107</v>
      </c>
      <c r="J18" s="20">
        <v>46122</v>
      </c>
      <c r="K18" s="3"/>
      <c r="L18" s="66"/>
      <c r="M18" s="66"/>
      <c r="N18" s="66"/>
      <c r="O18" s="66"/>
      <c r="P18" s="66"/>
      <c r="Q18" s="66"/>
      <c r="R18" s="66"/>
      <c r="S18" s="66"/>
      <c r="T18" s="66"/>
      <c r="U18" s="76"/>
      <c r="V18" s="76"/>
      <c r="W18" s="69"/>
      <c r="X18" s="69"/>
      <c r="Y18" s="69"/>
      <c r="Z18" s="69"/>
      <c r="AA18" s="69"/>
      <c r="AB18" s="66"/>
    </row>
    <row r="19" spans="2:28" ht="18.75" customHeight="1" x14ac:dyDescent="0.35">
      <c r="B19" s="42" t="s">
        <v>19</v>
      </c>
      <c r="C19" s="43"/>
      <c r="D19" s="43"/>
      <c r="E19" s="44"/>
      <c r="F19" s="12" t="s">
        <v>25</v>
      </c>
      <c r="G19" s="94">
        <v>25</v>
      </c>
      <c r="H19" s="94">
        <v>25</v>
      </c>
      <c r="I19" s="20">
        <v>46123</v>
      </c>
      <c r="J19" s="20">
        <v>46132</v>
      </c>
      <c r="K19" s="2"/>
      <c r="L19" s="66"/>
      <c r="M19" s="66"/>
      <c r="N19" s="66"/>
      <c r="O19" s="66"/>
      <c r="P19" s="66"/>
      <c r="Q19" s="66"/>
      <c r="R19" s="66"/>
      <c r="S19" s="66"/>
      <c r="T19" s="66"/>
      <c r="U19" s="69"/>
      <c r="V19" s="76"/>
      <c r="W19" s="76"/>
      <c r="X19" s="69"/>
      <c r="Y19" s="69"/>
      <c r="Z19" s="69"/>
      <c r="AA19" s="69"/>
      <c r="AB19" s="66"/>
    </row>
    <row r="20" spans="2:28" ht="35.25" customHeight="1" x14ac:dyDescent="0.35">
      <c r="B20" s="48" t="s">
        <v>20</v>
      </c>
      <c r="C20" s="49"/>
      <c r="D20" s="49"/>
      <c r="E20" s="50"/>
      <c r="F20" s="14"/>
      <c r="G20" s="95">
        <f>SUM(G21:G22)</f>
        <v>25</v>
      </c>
      <c r="H20" s="95">
        <f>SUM(H21:H22)</f>
        <v>35</v>
      </c>
      <c r="I20" s="7">
        <v>46133</v>
      </c>
      <c r="J20" s="7">
        <v>46162</v>
      </c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78"/>
      <c r="X20" s="70"/>
      <c r="Y20" s="77"/>
      <c r="Z20" s="71"/>
      <c r="AA20" s="71"/>
      <c r="AB20" s="66"/>
    </row>
    <row r="21" spans="2:28" ht="23.25" customHeight="1" x14ac:dyDescent="0.35">
      <c r="B21" s="38" t="s">
        <v>21</v>
      </c>
      <c r="C21" s="39"/>
      <c r="D21" s="39"/>
      <c r="E21" s="40"/>
      <c r="F21" s="15" t="s">
        <v>25</v>
      </c>
      <c r="G21" s="96">
        <v>15</v>
      </c>
      <c r="H21" s="96">
        <v>25</v>
      </c>
      <c r="I21" s="79">
        <v>46133</v>
      </c>
      <c r="J21" s="23">
        <v>46152</v>
      </c>
      <c r="K21" s="2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80"/>
      <c r="X21" s="80"/>
      <c r="Y21" s="69"/>
      <c r="Z21" s="69"/>
      <c r="AA21" s="69"/>
      <c r="AB21" s="66"/>
    </row>
    <row r="22" spans="2:28" ht="20.25" customHeight="1" x14ac:dyDescent="0.35">
      <c r="B22" s="38" t="s">
        <v>22</v>
      </c>
      <c r="C22" s="39"/>
      <c r="D22" s="39"/>
      <c r="E22" s="40"/>
      <c r="F22" s="15" t="s">
        <v>24</v>
      </c>
      <c r="G22" s="96">
        <v>10</v>
      </c>
      <c r="H22" s="96">
        <v>10</v>
      </c>
      <c r="I22" s="22">
        <v>46153</v>
      </c>
      <c r="J22" s="22">
        <v>46162</v>
      </c>
      <c r="K22" s="2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81"/>
      <c r="Y22" s="81"/>
      <c r="Z22" s="71"/>
      <c r="AA22" s="71"/>
      <c r="AB22" s="66"/>
    </row>
    <row r="23" spans="2:28" ht="28.5" customHeight="1" x14ac:dyDescent="0.35">
      <c r="B23" s="35" t="s">
        <v>6</v>
      </c>
      <c r="C23" s="36"/>
      <c r="D23" s="36"/>
      <c r="E23" s="37"/>
      <c r="F23" s="16"/>
      <c r="G23" s="97">
        <f>SUM(G24:G26)</f>
        <v>50</v>
      </c>
      <c r="H23" s="97">
        <f>SUM(H24:H26)</f>
        <v>35</v>
      </c>
      <c r="I23" s="8">
        <v>46163</v>
      </c>
      <c r="J23" s="8">
        <v>46188</v>
      </c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82"/>
      <c r="Z23" s="82"/>
      <c r="AA23" s="82"/>
      <c r="AB23" s="82"/>
    </row>
    <row r="24" spans="2:28" ht="24" customHeight="1" x14ac:dyDescent="0.35">
      <c r="B24" s="25" t="s">
        <v>26</v>
      </c>
      <c r="C24" s="26"/>
      <c r="D24" s="26"/>
      <c r="E24" s="27"/>
      <c r="F24" s="17" t="s">
        <v>25</v>
      </c>
      <c r="G24" s="98">
        <v>10</v>
      </c>
      <c r="H24" s="98">
        <v>20</v>
      </c>
      <c r="I24" s="83">
        <v>46163</v>
      </c>
      <c r="J24" s="24">
        <v>46174</v>
      </c>
      <c r="K24" s="2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84"/>
      <c r="Z24" s="84"/>
      <c r="AA24" s="69"/>
      <c r="AB24" s="66"/>
    </row>
    <row r="25" spans="2:28" ht="20.25" customHeight="1" x14ac:dyDescent="0.35">
      <c r="B25" s="32" t="s">
        <v>27</v>
      </c>
      <c r="C25" s="33"/>
      <c r="D25" s="33"/>
      <c r="E25" s="34"/>
      <c r="F25" s="18" t="s">
        <v>7</v>
      </c>
      <c r="G25" s="98">
        <v>35</v>
      </c>
      <c r="H25" s="98">
        <v>10</v>
      </c>
      <c r="I25" s="24">
        <v>46174</v>
      </c>
      <c r="J25" s="24">
        <v>46183</v>
      </c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84"/>
      <c r="AA25" s="84"/>
      <c r="AB25" s="66"/>
    </row>
    <row r="26" spans="2:28" ht="21" customHeight="1" x14ac:dyDescent="0.35">
      <c r="B26" s="25" t="s">
        <v>28</v>
      </c>
      <c r="C26" s="26"/>
      <c r="D26" s="26"/>
      <c r="E26" s="27"/>
      <c r="F26" s="17" t="s">
        <v>23</v>
      </c>
      <c r="G26" s="98">
        <v>5</v>
      </c>
      <c r="H26" s="98">
        <v>5</v>
      </c>
      <c r="I26" s="24">
        <v>46183</v>
      </c>
      <c r="J26" s="24">
        <v>46188</v>
      </c>
      <c r="K26" s="2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84"/>
      <c r="AB26" s="84"/>
    </row>
    <row r="27" spans="2:28" x14ac:dyDescent="0.35">
      <c r="G27" s="99">
        <f>SUM(G23,G20,G15,G10)</f>
        <v>270</v>
      </c>
      <c r="H27" s="99">
        <f>SUM(H23,H20,H15,H10)</f>
        <v>270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</sheetData>
  <mergeCells count="23">
    <mergeCell ref="B10:E10"/>
    <mergeCell ref="B9:E9"/>
    <mergeCell ref="B1:D2"/>
    <mergeCell ref="G2:Q3"/>
    <mergeCell ref="G4:Q4"/>
    <mergeCell ref="B5:C5"/>
    <mergeCell ref="B6:C6"/>
    <mergeCell ref="B11:E11"/>
    <mergeCell ref="B12:E12"/>
    <mergeCell ref="B13:E13"/>
    <mergeCell ref="B14:E14"/>
    <mergeCell ref="B15:E15"/>
    <mergeCell ref="B16:E16"/>
    <mergeCell ref="B17:E17"/>
    <mergeCell ref="B19:E19"/>
    <mergeCell ref="B20:E20"/>
    <mergeCell ref="B18:E18"/>
    <mergeCell ref="B21:E21"/>
    <mergeCell ref="B22:E22"/>
    <mergeCell ref="B26:E26"/>
    <mergeCell ref="B23:E23"/>
    <mergeCell ref="B24:E24"/>
    <mergeCell ref="B25:E2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53B9F84D3FE49ACDE5D3400E1BB29" ma:contentTypeVersion="4" ma:contentTypeDescription="Crée un document." ma:contentTypeScope="" ma:versionID="61b4832fd582f590a18ae35661cb8638">
  <xsd:schema xmlns:xsd="http://www.w3.org/2001/XMLSchema" xmlns:xs="http://www.w3.org/2001/XMLSchema" xmlns:p="http://schemas.microsoft.com/office/2006/metadata/properties" xmlns:ns2="949fa741-de20-450d-902f-ecc64febdd8b" targetNamespace="http://schemas.microsoft.com/office/2006/metadata/properties" ma:root="true" ma:fieldsID="11425ee04ce26f6333e320263679ea7e" ns2:_="">
    <xsd:import namespace="949fa741-de20-450d-902f-ecc64febd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fa741-de20-450d-902f-ecc64febd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71880-ECB7-40CA-8BDD-66BBAD2E82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9fa741-de20-450d-902f-ecc64febdd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C2513-9015-4353-8180-66C0F7D4ED7E}">
  <ds:schemaRefs>
    <ds:schemaRef ds:uri="http://purl.org/dc/terms/"/>
    <ds:schemaRef ds:uri="http://www.w3.org/XML/1998/namespace"/>
    <ds:schemaRef ds:uri="http://schemas.microsoft.com/office/2006/documentManagement/types"/>
    <ds:schemaRef ds:uri="949fa741-de20-450d-902f-ecc64febdd8b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674519C-4A7E-480E-A966-4DE708160A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Universite Savoie Mont Blanc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Milhane RABEHI</dc:creator>
  <cp:lastModifiedBy>jojo</cp:lastModifiedBy>
  <dcterms:created xsi:type="dcterms:W3CDTF">2025-02-12T07:34:46Z</dcterms:created>
  <dcterms:modified xsi:type="dcterms:W3CDTF">2026-01-12T12:10:35Z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0x0101005A353B9F84D3FE49ACDE5D3400E1BB29</vt:lpwstr>
  </property>
</Properties>
</file>